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<sst xmlns="http://schemas.openxmlformats.org/spreadsheetml/2006/main" count="19" uniqueCount="19">
  <si>
    <t>Sensitivity(mV)</t>
  </si>
  <si>
    <t>R</t>
  </si>
  <si>
    <t>θ</t>
  </si>
  <si>
    <t>V_out(calculated)</t>
  </si>
  <si>
    <t>τ (ms)</t>
  </si>
  <si>
    <t>f_in(Hz)</t>
  </si>
  <si>
    <t>V_in(mV)</t>
  </si>
  <si>
    <t>V_ref(mV)</t>
  </si>
  <si>
    <t>V_out(mV)</t>
  </si>
  <si>
    <t>V_out: output signal from the ADM read on the osciloscope.</t>
  </si>
  <si>
    <t>lock in operates in FS mode</t>
  </si>
  <si>
    <t>V_in: input signal amplitude to the modulation of QTF</t>
  </si>
  <si>
    <t>f_in: input signal frequency for modulation</t>
  </si>
  <si>
    <t>V_ref: reference signal amplitude to the lock-in</t>
  </si>
  <si>
    <t>R: magnitude of the lock-in detected signal</t>
  </si>
  <si>
    <t>θ: phase of the lock in signal</t>
  </si>
  <si>
    <t>-&gt;</t>
  </si>
  <si>
    <t>After this point, signal started to look very distorted, barely readable and lost its sinusoidal form</t>
  </si>
  <si>
    <t>At sensitivity settings of 5 mV and 50 mV, the analog output voltage reads approximately 40% higher than expected when the time constant is set to 30 ms or above. This discrepancy affects both XY and R-theta measurement modes equally. When the time constant is reduced to 10 ms or lower, the output voltage returns to the expected value and matches the behavior observed at all other sensitivity settings (500 µV through 1 V). All other sensitivity ranges show consistent output voltage regardless of time constant setting.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</si>
</sst>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V_in vs V_out  (Lock-in detection)</a:t>
            </a:r>
          </a:p>
        </c:rich>
      </c:tx>
      <c:overlay val="0"/>
    </c:title>
    <c:plotArea>
      <c:layout/>
      <c:scatterChart>
        <c:scatterStyle val="lineMarker"/>
        <c:varyColors val="0"/>
        <c:ser>
          <c:idx val="0"/>
          <c:order val="0"/>
          <c:tx>
            <c:strRef>
              <c:f>Sheet1!$D$1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Sheet1!$G$2:$G$11</c:f>
            </c:numRef>
          </c:xVal>
          <c:yVal>
            <c:numRef>
              <c:f>Sheet1!$D$2:$D$11</c:f>
              <c:numCache/>
            </c:numRef>
          </c:yVal>
        </c:ser>
        <c:dLbls>
          <c:showLegendKey val="0"/>
          <c:showVal val="0"/>
          <c:showCatName val="0"/>
          <c:showSerName val="0"/>
          <c:showPercent val="0"/>
          <c:showBubbleSize val="0"/>
        </c:dLbls>
        <c:axId val="350043374"/>
        <c:axId val="850161440"/>
      </c:scatterChart>
      <c:valAx>
        <c:axId val="350043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V_in</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850161440"/>
      </c:valAx>
      <c:valAx>
        <c:axId val="85016144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V_out</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35004337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 customWidth="1" min="7" max="7" width="30.25"/>
    <col customWidth="1" min="9" max="9" width="7.0"/>
  </cols>
  <sheetData>
    <row r="1">
      <c r="A1" s="1" t="s">
        <v>0</v>
      </c>
      <c r="B1" s="1" t="s">
        <v>1</v>
      </c>
      <c r="C1" s="1" t="s">
        <v>2</v>
      </c>
      <c r="D1" s="1" t="s">
        <v>3</v>
      </c>
      <c r="E1" s="1" t="s">
        <v>4</v>
      </c>
      <c r="F1" s="1" t="s">
        <v>5</v>
      </c>
      <c r="G1" s="1" t="s">
        <v>6</v>
      </c>
      <c r="H1" s="1" t="s">
        <v>7</v>
      </c>
      <c r="I1" s="1" t="s">
        <v>8</v>
      </c>
      <c r="K1" s="1" t="s">
        <v>9</v>
      </c>
      <c r="O1" s="1" t="s">
        <v>10</v>
      </c>
    </row>
    <row r="2">
      <c r="A2" s="1">
        <v>100.0</v>
      </c>
      <c r="B2" s="1">
        <v>65.0</v>
      </c>
      <c r="C2" s="1">
        <v>-42.0</v>
      </c>
      <c r="D2" s="2">
        <f t="shared" ref="D2:D11" si="1">(B2/100)*A2</f>
        <v>65</v>
      </c>
      <c r="E2" s="1">
        <v>100.0</v>
      </c>
      <c r="F2" s="1">
        <v>12458.8</v>
      </c>
      <c r="G2" s="1">
        <v>10.0</v>
      </c>
      <c r="H2" s="1">
        <v>1000.0</v>
      </c>
      <c r="I2" s="1">
        <v>110.0</v>
      </c>
      <c r="K2" s="1" t="s">
        <v>11</v>
      </c>
    </row>
    <row r="3">
      <c r="A3" s="1">
        <v>100.0</v>
      </c>
      <c r="B3" s="1">
        <v>60.0</v>
      </c>
      <c r="C3" s="1">
        <v>-42.0</v>
      </c>
      <c r="D3" s="2">
        <f t="shared" si="1"/>
        <v>60</v>
      </c>
      <c r="E3" s="1">
        <v>100.0</v>
      </c>
      <c r="F3" s="1">
        <v>12458.8</v>
      </c>
      <c r="G3" s="1">
        <v>9.0</v>
      </c>
      <c r="H3" s="1">
        <v>1000.0</v>
      </c>
      <c r="I3" s="1">
        <v>100.0</v>
      </c>
      <c r="K3" s="1" t="s">
        <v>12</v>
      </c>
    </row>
    <row r="4">
      <c r="A4" s="1">
        <v>100.0</v>
      </c>
      <c r="B4" s="1">
        <v>52.0</v>
      </c>
      <c r="C4" s="1">
        <v>78.0</v>
      </c>
      <c r="D4" s="2">
        <f t="shared" si="1"/>
        <v>52</v>
      </c>
      <c r="E4" s="1">
        <v>100.0</v>
      </c>
      <c r="F4" s="1">
        <v>12458.8</v>
      </c>
      <c r="G4" s="1">
        <v>8.0</v>
      </c>
      <c r="H4" s="1">
        <v>1000.0</v>
      </c>
      <c r="I4" s="1">
        <v>90.0</v>
      </c>
      <c r="K4" s="1" t="s">
        <v>13</v>
      </c>
    </row>
    <row r="5">
      <c r="A5" s="1">
        <v>100.0</v>
      </c>
      <c r="B5" s="1">
        <v>46.0</v>
      </c>
      <c r="C5" s="1">
        <v>-48.0</v>
      </c>
      <c r="D5" s="2">
        <f t="shared" si="1"/>
        <v>46</v>
      </c>
      <c r="E5" s="1">
        <v>100.0</v>
      </c>
      <c r="F5" s="1">
        <v>12458.8</v>
      </c>
      <c r="G5" s="1">
        <v>7.0</v>
      </c>
      <c r="H5" s="1">
        <v>1000.0</v>
      </c>
      <c r="I5" s="1">
        <v>75.0</v>
      </c>
      <c r="K5" s="1" t="s">
        <v>14</v>
      </c>
    </row>
    <row r="6">
      <c r="A6" s="1">
        <v>100.0</v>
      </c>
      <c r="B6" s="1">
        <v>39.0</v>
      </c>
      <c r="C6" s="1">
        <v>-111.0</v>
      </c>
      <c r="D6" s="2">
        <f t="shared" si="1"/>
        <v>39</v>
      </c>
      <c r="E6" s="1">
        <v>100.0</v>
      </c>
      <c r="F6" s="1">
        <v>12458.8</v>
      </c>
      <c r="G6" s="1">
        <v>6.0</v>
      </c>
      <c r="H6" s="1">
        <v>1000.0</v>
      </c>
      <c r="I6" s="1">
        <v>65.0</v>
      </c>
      <c r="K6" s="1" t="s">
        <v>15</v>
      </c>
    </row>
    <row r="7">
      <c r="A7" s="1">
        <v>100.0</v>
      </c>
      <c r="B7" s="1">
        <v>32.0</v>
      </c>
      <c r="C7" s="1">
        <v>137.0</v>
      </c>
      <c r="D7" s="2">
        <f t="shared" si="1"/>
        <v>32</v>
      </c>
      <c r="E7" s="1">
        <v>100.0</v>
      </c>
      <c r="F7" s="1">
        <v>12458.8</v>
      </c>
      <c r="G7" s="1">
        <v>5.0</v>
      </c>
      <c r="H7" s="1">
        <v>1000.0</v>
      </c>
      <c r="I7" s="1">
        <v>60.0</v>
      </c>
    </row>
    <row r="8">
      <c r="A8" s="1">
        <v>100.0</v>
      </c>
      <c r="B8" s="1">
        <v>26.0</v>
      </c>
      <c r="C8" s="1">
        <v>-133.0</v>
      </c>
      <c r="D8" s="2">
        <f t="shared" si="1"/>
        <v>26</v>
      </c>
      <c r="E8" s="1">
        <v>100.0</v>
      </c>
      <c r="F8" s="1">
        <v>12458.8</v>
      </c>
      <c r="G8" s="1">
        <v>4.0</v>
      </c>
      <c r="H8" s="1">
        <v>1000.0</v>
      </c>
      <c r="I8" s="1">
        <v>50.0</v>
      </c>
      <c r="J8" s="1" t="s">
        <v>16</v>
      </c>
      <c r="K8" s="1" t="s">
        <v>17</v>
      </c>
    </row>
    <row r="9">
      <c r="A9" s="1">
        <v>100.0</v>
      </c>
      <c r="B9" s="1">
        <v>20.0</v>
      </c>
      <c r="C9" s="1">
        <v>81.0</v>
      </c>
      <c r="D9" s="2">
        <f t="shared" si="1"/>
        <v>20</v>
      </c>
      <c r="E9" s="1">
        <v>100.0</v>
      </c>
      <c r="F9" s="1">
        <v>12458.8</v>
      </c>
      <c r="G9" s="1">
        <v>3.0</v>
      </c>
      <c r="H9" s="1">
        <v>1000.0</v>
      </c>
      <c r="I9" s="1">
        <v>45.0</v>
      </c>
    </row>
    <row r="10">
      <c r="A10" s="1">
        <v>100.0</v>
      </c>
      <c r="B10" s="1">
        <v>13.0</v>
      </c>
      <c r="C10" s="1">
        <v>80.0</v>
      </c>
      <c r="D10" s="2">
        <f t="shared" si="1"/>
        <v>13</v>
      </c>
      <c r="E10" s="1">
        <v>100.0</v>
      </c>
      <c r="F10" s="1">
        <v>12458.8</v>
      </c>
      <c r="G10" s="1">
        <v>2.0</v>
      </c>
      <c r="H10" s="1">
        <v>1000.0</v>
      </c>
      <c r="I10" s="1">
        <v>30.0</v>
      </c>
    </row>
    <row r="11">
      <c r="A11" s="1">
        <v>100.0</v>
      </c>
      <c r="B11" s="1">
        <v>6.0</v>
      </c>
      <c r="C11" s="1">
        <v>82.0</v>
      </c>
      <c r="D11" s="2">
        <f t="shared" si="1"/>
        <v>6</v>
      </c>
      <c r="E11" s="1">
        <v>100.0</v>
      </c>
      <c r="F11" s="1">
        <v>12458.8</v>
      </c>
      <c r="G11" s="1">
        <v>1.0</v>
      </c>
      <c r="H11" s="1">
        <v>1000.0</v>
      </c>
      <c r="I11" s="1">
        <v>20.0</v>
      </c>
    </row>
    <row r="13">
      <c r="G13" s="3" t="s">
        <v>18</v>
      </c>
    </row>
  </sheetData>
  <drawing r:id="rId1"/>
</worksheet>
</file>